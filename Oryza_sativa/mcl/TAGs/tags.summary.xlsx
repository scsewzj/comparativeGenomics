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c/All/GENIOMHE2/courses/comparative_genomics/projet-redo-1225/mcl/TAGs/"/>
    </mc:Choice>
  </mc:AlternateContent>
  <xr:revisionPtr revIDLastSave="0" documentId="13_ncr:1_{2397D992-E581-2041-B1A8-BF4061CEA74A}" xr6:coauthVersionLast="47" xr6:coauthVersionMax="47" xr10:uidLastSave="{00000000-0000-0000-0000-000000000000}"/>
  <bookViews>
    <workbookView xWindow="380" yWindow="0" windowWidth="28040" windowHeight="17440" activeTab="1" xr2:uid="{126ECDD2-C614-6545-B83A-388058342B27}"/>
  </bookViews>
  <sheets>
    <sheet name="tags.summary" sheetId="1" r:id="rId1"/>
    <sheet name="Sheet1" sheetId="3" r:id="rId2"/>
    <sheet name="MCL 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3" l="1"/>
  <c r="C38" i="3"/>
  <c r="L21" i="3"/>
  <c r="M21" i="3"/>
  <c r="N21" i="3"/>
  <c r="K21" i="3"/>
  <c r="L15" i="3"/>
  <c r="M15" i="3"/>
  <c r="N15" i="3"/>
  <c r="K15" i="3"/>
  <c r="C31" i="3"/>
  <c r="G21" i="3"/>
  <c r="G29" i="3" s="1"/>
  <c r="C21" i="3"/>
  <c r="C29" i="3" s="1"/>
  <c r="D21" i="3"/>
  <c r="D29" i="3" s="1"/>
  <c r="E21" i="3"/>
  <c r="E29" i="3" s="1"/>
  <c r="F21" i="3"/>
  <c r="F29" i="3" s="1"/>
  <c r="H21" i="3"/>
  <c r="H29" i="3" s="1"/>
  <c r="C22" i="3"/>
  <c r="C30" i="3" s="1"/>
  <c r="D22" i="3"/>
  <c r="D30" i="3" s="1"/>
  <c r="E22" i="3"/>
  <c r="E30" i="3" s="1"/>
  <c r="F22" i="3"/>
  <c r="F30" i="3" s="1"/>
  <c r="G22" i="3"/>
  <c r="G30" i="3" s="1"/>
  <c r="H22" i="3"/>
  <c r="H30" i="3" s="1"/>
  <c r="C23" i="3"/>
  <c r="D23" i="3"/>
  <c r="D31" i="3" s="1"/>
  <c r="E23" i="3"/>
  <c r="E31" i="3" s="1"/>
  <c r="F23" i="3"/>
  <c r="F31" i="3" s="1"/>
  <c r="G23" i="3"/>
  <c r="G31" i="3" s="1"/>
  <c r="H23" i="3"/>
  <c r="H31" i="3" s="1"/>
  <c r="D20" i="3"/>
  <c r="D28" i="3" s="1"/>
  <c r="E20" i="3"/>
  <c r="E28" i="3" s="1"/>
  <c r="F20" i="3"/>
  <c r="F28" i="3" s="1"/>
  <c r="G20" i="3"/>
  <c r="G28" i="3" s="1"/>
  <c r="H20" i="3"/>
  <c r="H28" i="3" s="1"/>
  <c r="C20" i="3"/>
  <c r="C28" i="3" s="1"/>
</calcChain>
</file>

<file path=xl/sharedStrings.xml><?xml version="1.0" encoding="utf-8"?>
<sst xmlns="http://schemas.openxmlformats.org/spreadsheetml/2006/main" count="141" uniqueCount="56">
  <si>
    <t>1-5</t>
  </si>
  <si>
    <t>6-10</t>
  </si>
  <si>
    <t># TAG pairs</t>
  </si>
  <si>
    <t># TAG arrays</t>
  </si>
  <si>
    <t>Array size</t>
  </si>
  <si>
    <t>Mean</t>
  </si>
  <si>
    <t>Max</t>
  </si>
  <si>
    <t>SD</t>
  </si>
  <si>
    <t>Dataset</t>
  </si>
  <si>
    <t>H</t>
  </si>
  <si>
    <t>L</t>
  </si>
  <si>
    <t>Spacer range</t>
  </si>
  <si>
    <t>High</t>
  </si>
  <si>
    <t>Low</t>
  </si>
  <si>
    <t>max size</t>
  </si>
  <si>
    <t>&gt;=20</t>
  </si>
  <si>
    <t>3–5</t>
  </si>
  <si>
    <t>&gt;=10</t>
  </si>
  <si>
    <t>total number of arrays</t>
  </si>
  <si>
    <t>L/0</t>
  </si>
  <si>
    <t>L/1-5</t>
  </si>
  <si>
    <t>L/6-10</t>
  </si>
  <si>
    <t>H/0</t>
  </si>
  <si>
    <t>H/1-5</t>
  </si>
  <si>
    <t>H/6-10</t>
  </si>
  <si>
    <t># arrays</t>
  </si>
  <si>
    <t>Max array size</t>
  </si>
  <si>
    <t>Size=2</t>
  </si>
  <si>
    <t>Size 3-5</t>
  </si>
  <si>
    <t>Size 6-9</t>
  </si>
  <si>
    <t>Size &gt;=10</t>
  </si>
  <si>
    <t>10 (0.9%)</t>
  </si>
  <si>
    <t>0 (0%)</t>
  </si>
  <si>
    <t>3 (0.4%)</t>
  </si>
  <si>
    <t>6 (0.7%)</t>
  </si>
  <si>
    <t>4 (0.4%)</t>
  </si>
  <si>
    <t>2 (0.2%)</t>
  </si>
  <si>
    <t>total</t>
  </si>
  <si>
    <t>Size range</t>
  </si>
  <si>
    <t># clusters</t>
  </si>
  <si>
    <t># genes</t>
  </si>
  <si>
    <t>10--19</t>
  </si>
  <si>
    <t>3--9</t>
  </si>
  <si>
    <t>824 (76%)</t>
  </si>
  <si>
    <t>1001 (78.3%)</t>
  </si>
  <si>
    <t>219 (96.5%)</t>
  </si>
  <si>
    <t>546 (79.5%)</t>
  </si>
  <si>
    <t>745 (81.8%)</t>
  </si>
  <si>
    <t>118 (97.5%)</t>
  </si>
  <si>
    <t>246 (22.7%)</t>
  </si>
  <si>
    <t>260 (20.3%)</t>
  </si>
  <si>
    <t>8 (3.5%)</t>
  </si>
  <si>
    <t>135 (19.7%)</t>
  </si>
  <si>
    <t>160 (17.6%)</t>
  </si>
  <si>
    <t>3 (2.5%)</t>
  </si>
  <si>
    <t>15 (1.2%)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</si>
</sst>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FF0000"/>
      <name val="Lucida Grande"/>
      <family val="2"/>
    </font>
    <font>
      <sz val="11"/>
      <color rgb="FF000000"/>
      <name val="Lucida Grande"/>
      <family val="2"/>
    </font>
    <font>
      <b/>
      <sz val="11"/>
      <color rgb="FFFF0000"/>
      <name val="Lucida Grande"/>
      <family val="2"/>
    </font>
    <font>
      <b/>
      <sz val="9"/>
      <color rgb="FF000000"/>
      <name val="Helvetica Neue"/>
      <family val="2"/>
    </font>
    <font>
      <sz val="9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49" fontId="18" fillId="0" borderId="0" xfId="0" applyNumberFormat="1" applyFont="1"/>
    <xf numFmtId="2" fontId="18" fillId="0" borderId="0" xfId="0" applyNumberFormat="1" applyFont="1"/>
    <xf numFmtId="0" fontId="19" fillId="0" borderId="0" xfId="0" applyFont="1"/>
    <xf numFmtId="0" fontId="20" fillId="0" borderId="0" xfId="0" applyFont="1"/>
    <xf numFmtId="0" fontId="14" fillId="0" borderId="0" xfId="0" applyFont="1"/>
    <xf numFmtId="0" fontId="22" fillId="0" borderId="0" xfId="0" applyFont="1"/>
    <xf numFmtId="49" fontId="22" fillId="0" borderId="0" xfId="0" applyNumberFormat="1" applyFont="1"/>
    <xf numFmtId="16" fontId="20" fillId="0" borderId="0" xfId="0" applyNumberFormat="1" applyFont="1"/>
    <xf numFmtId="1" fontId="0" fillId="0" borderId="0" xfId="0" applyNumberFormat="1"/>
    <xf numFmtId="0" fontId="23" fillId="0" borderId="0" xfId="0" applyFont="1"/>
    <xf numFmtId="1" fontId="21" fillId="0" borderId="0" xfId="0" applyNumberFormat="1" applyFont="1" applyAlignment="1">
      <alignment horizontal="right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16" fontId="25" fillId="0" borderId="0" xfId="0" applyNumberFormat="1" applyFont="1" applyAlignment="1">
      <alignment vertical="center" wrapText="1"/>
    </xf>
    <xf numFmtId="17" fontId="25" fillId="0" borderId="0" xfId="0" applyNumberFormat="1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5" fillId="0" borderId="10" xfId="0" applyFont="1" applyBorder="1" applyAlignment="1">
      <alignment vertical="center"/>
    </xf>
    <xf numFmtId="0" fontId="21" fillId="0" borderId="0" xfId="0" applyFont="1" applyBorder="1"/>
    <xf numFmtId="0" fontId="22" fillId="0" borderId="0" xfId="0" applyFont="1" applyBorder="1"/>
    <xf numFmtId="0" fontId="24" fillId="0" borderId="0" xfId="0" applyFont="1" applyBorder="1" applyAlignment="1">
      <alignment vertical="center" wrapText="1"/>
    </xf>
    <xf numFmtId="0" fontId="25" fillId="0" borderId="0" xfId="0" applyFont="1" applyBorder="1" applyAlignment="1">
      <alignment vertical="center" wrapText="1"/>
    </xf>
    <xf numFmtId="16" fontId="25" fillId="0" borderId="0" xfId="0" applyNumberFormat="1" applyFont="1" applyBorder="1" applyAlignment="1">
      <alignment vertical="center" wrapText="1"/>
    </xf>
    <xf numFmtId="17" fontId="25" fillId="0" borderId="0" xfId="0" applyNumberFormat="1" applyFont="1" applyBorder="1" applyAlignment="1">
      <alignment vertical="center" wrapText="1"/>
    </xf>
    <xf numFmtId="0" fontId="24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16" fillId="0" borderId="0" xfId="0" applyFont="1" applyBorder="1"/>
    <xf numFmtId="0" fontId="0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1F46-F988-854A-977D-F17A05EE22BC}">
  <dimension ref="A1:G13"/>
  <sheetViews>
    <sheetView zoomScale="125" workbookViewId="0">
      <selection activeCell="C11" sqref="C11:I13"/>
    </sheetView>
  </sheetViews>
  <sheetFormatPr baseColWidth="10" defaultColWidth="14" defaultRowHeight="19" x14ac:dyDescent="0.25"/>
  <cols>
    <col min="1" max="1" width="10.6640625" style="1" customWidth="1"/>
    <col min="2" max="2" width="16.5" style="1" bestFit="1" customWidth="1"/>
    <col min="3" max="4" width="14" style="1"/>
    <col min="5" max="5" width="16.5" style="1" bestFit="1" customWidth="1"/>
    <col min="6" max="6" width="15.1640625" style="1" bestFit="1" customWidth="1"/>
    <col min="7" max="16384" width="14" style="1"/>
  </cols>
  <sheetData>
    <row r="1" spans="1:7" x14ac:dyDescent="0.25">
      <c r="E1" s="1" t="s">
        <v>4</v>
      </c>
    </row>
    <row r="2" spans="1:7" x14ac:dyDescent="0.25">
      <c r="A2" s="1" t="s">
        <v>8</v>
      </c>
      <c r="B2" s="1" t="s">
        <v>11</v>
      </c>
      <c r="C2" s="1" t="s">
        <v>3</v>
      </c>
      <c r="D2" s="1" t="s">
        <v>2</v>
      </c>
      <c r="E2" s="1" t="s">
        <v>6</v>
      </c>
      <c r="F2" s="1" t="s">
        <v>5</v>
      </c>
      <c r="G2" s="1" t="s">
        <v>7</v>
      </c>
    </row>
    <row r="3" spans="1:7" x14ac:dyDescent="0.25">
      <c r="A3" s="1" t="s">
        <v>9</v>
      </c>
      <c r="B3" s="2">
        <v>0</v>
      </c>
      <c r="C3" s="1">
        <v>697</v>
      </c>
      <c r="D3" s="1">
        <v>929</v>
      </c>
      <c r="E3" s="1">
        <v>19</v>
      </c>
      <c r="F3" s="3">
        <v>2.3328550932568199</v>
      </c>
      <c r="G3" s="3">
        <v>1.0190552436467899</v>
      </c>
    </row>
    <row r="4" spans="1:7" x14ac:dyDescent="0.25">
      <c r="B4" s="2" t="s">
        <v>0</v>
      </c>
      <c r="C4" s="1">
        <v>922</v>
      </c>
      <c r="D4" s="1">
        <v>1161</v>
      </c>
      <c r="E4" s="1">
        <v>7</v>
      </c>
      <c r="F4" s="3">
        <v>2.2592190889371002</v>
      </c>
      <c r="G4" s="3">
        <v>0.64658682729996197</v>
      </c>
    </row>
    <row r="5" spans="1:7" x14ac:dyDescent="0.25">
      <c r="B5" s="2" t="s">
        <v>1</v>
      </c>
      <c r="C5" s="1">
        <v>125</v>
      </c>
      <c r="D5" s="1">
        <v>128</v>
      </c>
      <c r="E5" s="1">
        <v>3</v>
      </c>
      <c r="F5" s="3">
        <v>2.024</v>
      </c>
      <c r="G5" s="3">
        <v>0.15366490564148499</v>
      </c>
    </row>
    <row r="6" spans="1:7" x14ac:dyDescent="0.25">
      <c r="A6" s="1" t="s">
        <v>10</v>
      </c>
      <c r="B6" s="2">
        <v>0</v>
      </c>
      <c r="C6" s="1">
        <v>1083</v>
      </c>
      <c r="D6" s="1">
        <v>1504</v>
      </c>
      <c r="E6" s="1">
        <v>19</v>
      </c>
      <c r="F6" s="3">
        <v>2.3887349953832002</v>
      </c>
      <c r="G6" s="3">
        <v>1.0125563661285799</v>
      </c>
    </row>
    <row r="7" spans="1:7" x14ac:dyDescent="0.25">
      <c r="B7" s="2" t="s">
        <v>0</v>
      </c>
      <c r="C7" s="1">
        <v>1287</v>
      </c>
      <c r="D7" s="1">
        <v>1711</v>
      </c>
      <c r="E7" s="1">
        <v>10</v>
      </c>
      <c r="F7" s="3">
        <v>2.3294483294483301</v>
      </c>
      <c r="G7" s="3">
        <v>0.80352736562280302</v>
      </c>
    </row>
    <row r="8" spans="1:7" x14ac:dyDescent="0.25">
      <c r="B8" s="2" t="s">
        <v>1</v>
      </c>
      <c r="C8" s="1">
        <v>225</v>
      </c>
      <c r="D8" s="1">
        <v>233</v>
      </c>
      <c r="E8" s="1">
        <v>3</v>
      </c>
      <c r="F8" s="3">
        <v>2.0355555555555598</v>
      </c>
      <c r="G8" s="3">
        <v>0.185592145427668</v>
      </c>
    </row>
    <row r="12" spans="1:7" x14ac:dyDescent="0.25">
      <c r="B12" s="4"/>
    </row>
    <row r="13" spans="1:7" x14ac:dyDescent="0.25">
      <c r="B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89C2-4ACA-BE40-97E3-3E285A7B6D58}">
  <dimension ref="A1:S42"/>
  <sheetViews>
    <sheetView tabSelected="1" topLeftCell="A14" zoomScale="125" workbookViewId="0">
      <selection activeCell="E31" sqref="E31"/>
    </sheetView>
  </sheetViews>
  <sheetFormatPr baseColWidth="10" defaultRowHeight="16" x14ac:dyDescent="0.2"/>
  <cols>
    <col min="1" max="1" width="21.83203125" bestFit="1" customWidth="1"/>
    <col min="2" max="9" width="14.6640625" customWidth="1"/>
  </cols>
  <sheetData>
    <row r="1" spans="1:19" x14ac:dyDescent="0.2">
      <c r="A1" s="4"/>
      <c r="B1" s="4" t="s">
        <v>12</v>
      </c>
      <c r="C1" s="4" t="s">
        <v>13</v>
      </c>
    </row>
    <row r="2" spans="1:19" x14ac:dyDescent="0.2">
      <c r="A2" s="5" t="s">
        <v>18</v>
      </c>
      <c r="B2" s="5">
        <v>1744</v>
      </c>
      <c r="C2" s="5">
        <v>2595</v>
      </c>
    </row>
    <row r="3" spans="1:19" x14ac:dyDescent="0.2">
      <c r="A3" s="5" t="s">
        <v>14</v>
      </c>
      <c r="B3" s="5">
        <v>19</v>
      </c>
      <c r="C3" s="5">
        <v>19</v>
      </c>
      <c r="E3" s="7"/>
      <c r="F3" s="7"/>
      <c r="G3" s="7"/>
      <c r="H3" s="7"/>
      <c r="I3" s="7"/>
      <c r="J3" s="7"/>
      <c r="K3" s="7"/>
      <c r="L3" s="7"/>
      <c r="M3" s="7"/>
      <c r="P3" s="7"/>
      <c r="Q3" s="7"/>
      <c r="R3" s="7"/>
    </row>
    <row r="4" spans="1:19" x14ac:dyDescent="0.2">
      <c r="A4" s="5">
        <v>2</v>
      </c>
      <c r="B4" s="5">
        <v>1430</v>
      </c>
      <c r="C4" s="5">
        <v>2050</v>
      </c>
      <c r="E4" s="7"/>
      <c r="F4" s="7"/>
      <c r="G4" s="7"/>
      <c r="H4" s="7"/>
      <c r="I4" s="7"/>
      <c r="J4" s="7"/>
      <c r="K4" s="7"/>
      <c r="L4" s="7"/>
      <c r="M4" s="7"/>
      <c r="P4" s="7"/>
      <c r="Q4" s="7"/>
      <c r="R4" s="7"/>
      <c r="S4" s="7"/>
    </row>
    <row r="5" spans="1:19" x14ac:dyDescent="0.2">
      <c r="A5" s="5" t="s">
        <v>16</v>
      </c>
      <c r="B5" s="5">
        <v>302</v>
      </c>
      <c r="C5" s="5">
        <v>513</v>
      </c>
      <c r="E5" s="7"/>
      <c r="F5" s="7"/>
      <c r="G5" s="7"/>
      <c r="H5" s="7"/>
      <c r="I5" s="7"/>
      <c r="J5" s="7"/>
      <c r="K5" s="7"/>
      <c r="L5" s="7"/>
      <c r="M5" s="7"/>
      <c r="P5" s="7"/>
      <c r="Q5" s="7"/>
      <c r="R5" s="7"/>
      <c r="S5" s="7"/>
    </row>
    <row r="6" spans="1:19" x14ac:dyDescent="0.2">
      <c r="A6" s="9">
        <v>45906</v>
      </c>
      <c r="B6" s="5">
        <v>9</v>
      </c>
      <c r="C6" s="5">
        <v>26</v>
      </c>
      <c r="P6" s="7"/>
      <c r="Q6" s="7"/>
      <c r="R6" s="7"/>
      <c r="S6" s="7"/>
    </row>
    <row r="7" spans="1:19" x14ac:dyDescent="0.2">
      <c r="A7" s="5" t="s">
        <v>17</v>
      </c>
      <c r="B7" s="5">
        <v>3</v>
      </c>
      <c r="C7" s="5">
        <v>6</v>
      </c>
      <c r="P7" s="7"/>
      <c r="Q7" s="7"/>
      <c r="R7" s="7"/>
      <c r="S7" s="7"/>
    </row>
    <row r="8" spans="1:19" x14ac:dyDescent="0.2">
      <c r="A8" s="4"/>
      <c r="P8" s="7"/>
      <c r="Q8" s="7"/>
      <c r="R8" s="7"/>
      <c r="S8" s="7"/>
    </row>
    <row r="9" spans="1:19" x14ac:dyDescent="0.2">
      <c r="P9" s="7"/>
      <c r="Q9" s="7"/>
      <c r="R9" s="7"/>
      <c r="S9" s="7"/>
    </row>
    <row r="10" spans="1:19" x14ac:dyDescent="0.2">
      <c r="C10" s="4"/>
      <c r="F10" s="4"/>
      <c r="Q10" s="7"/>
      <c r="R10" s="7"/>
      <c r="S10" s="7"/>
    </row>
    <row r="11" spans="1:19" x14ac:dyDescent="0.2"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K11" s="4" t="s">
        <v>27</v>
      </c>
      <c r="L11" s="4" t="s">
        <v>28</v>
      </c>
      <c r="M11" s="4" t="s">
        <v>29</v>
      </c>
      <c r="N11" s="4" t="s">
        <v>30</v>
      </c>
    </row>
    <row r="12" spans="1:19" x14ac:dyDescent="0.2">
      <c r="B12" s="4" t="s">
        <v>25</v>
      </c>
      <c r="C12" s="7">
        <v>1084</v>
      </c>
      <c r="D12" s="7">
        <v>1278</v>
      </c>
      <c r="E12" s="7">
        <v>227</v>
      </c>
      <c r="F12" s="7">
        <v>687</v>
      </c>
      <c r="G12" s="7">
        <v>911</v>
      </c>
      <c r="H12" s="7">
        <v>121</v>
      </c>
      <c r="J12" s="4" t="s">
        <v>19</v>
      </c>
      <c r="K12" s="7">
        <v>824</v>
      </c>
      <c r="L12" s="7">
        <v>246</v>
      </c>
      <c r="M12" s="7">
        <v>10</v>
      </c>
      <c r="N12" s="7">
        <v>4</v>
      </c>
    </row>
    <row r="13" spans="1:19" x14ac:dyDescent="0.2">
      <c r="B13" s="4" t="s">
        <v>26</v>
      </c>
      <c r="C13" s="7">
        <v>19</v>
      </c>
      <c r="D13" s="7">
        <v>10</v>
      </c>
      <c r="E13" s="7">
        <v>3</v>
      </c>
      <c r="F13" s="7">
        <v>19</v>
      </c>
      <c r="G13" s="7">
        <v>7</v>
      </c>
      <c r="H13" s="7">
        <v>3</v>
      </c>
      <c r="J13" s="4" t="s">
        <v>20</v>
      </c>
      <c r="K13" s="7">
        <v>1001</v>
      </c>
      <c r="L13" s="7">
        <v>260</v>
      </c>
      <c r="M13" s="7">
        <v>15</v>
      </c>
      <c r="N13" s="7">
        <v>2</v>
      </c>
    </row>
    <row r="14" spans="1:19" x14ac:dyDescent="0.2">
      <c r="B14" s="4" t="s">
        <v>27</v>
      </c>
      <c r="C14" s="7">
        <v>824</v>
      </c>
      <c r="D14" s="7">
        <v>1001</v>
      </c>
      <c r="E14" s="7">
        <v>219</v>
      </c>
      <c r="F14" s="7">
        <v>546</v>
      </c>
      <c r="G14" s="7">
        <v>745</v>
      </c>
      <c r="H14" s="7">
        <v>118</v>
      </c>
      <c r="J14" s="4" t="s">
        <v>21</v>
      </c>
      <c r="K14" s="7">
        <v>219</v>
      </c>
      <c r="L14" s="7">
        <v>8</v>
      </c>
      <c r="M14" s="7">
        <v>0</v>
      </c>
      <c r="N14" s="7">
        <v>0</v>
      </c>
    </row>
    <row r="15" spans="1:19" x14ac:dyDescent="0.2">
      <c r="B15" s="4" t="s">
        <v>28</v>
      </c>
      <c r="C15" s="7">
        <v>246</v>
      </c>
      <c r="D15" s="7">
        <v>260</v>
      </c>
      <c r="E15" s="7">
        <v>8</v>
      </c>
      <c r="F15" s="7">
        <v>135</v>
      </c>
      <c r="G15" s="7">
        <v>160</v>
      </c>
      <c r="H15" s="7">
        <v>3</v>
      </c>
      <c r="J15" s="4" t="s">
        <v>37</v>
      </c>
      <c r="K15" s="10">
        <f>SUM(K12:K14)</f>
        <v>2044</v>
      </c>
      <c r="L15" s="10">
        <f t="shared" ref="L15:N15" si="0">SUM(L12:L14)</f>
        <v>514</v>
      </c>
      <c r="M15" s="10">
        <f t="shared" si="0"/>
        <v>25</v>
      </c>
      <c r="N15" s="10">
        <f t="shared" si="0"/>
        <v>6</v>
      </c>
    </row>
    <row r="16" spans="1:19" x14ac:dyDescent="0.2">
      <c r="B16" s="4" t="s">
        <v>29</v>
      </c>
      <c r="C16" s="7">
        <v>10</v>
      </c>
      <c r="D16" s="7">
        <v>15</v>
      </c>
      <c r="E16" s="7">
        <v>0</v>
      </c>
      <c r="F16" s="7">
        <v>3</v>
      </c>
      <c r="G16" s="7">
        <v>6</v>
      </c>
      <c r="H16" s="7">
        <v>0</v>
      </c>
    </row>
    <row r="17" spans="2:15" x14ac:dyDescent="0.2">
      <c r="B17" s="4" t="s">
        <v>30</v>
      </c>
      <c r="C17" s="7">
        <v>4</v>
      </c>
      <c r="D17" s="7">
        <v>2</v>
      </c>
      <c r="E17" s="7">
        <v>0</v>
      </c>
      <c r="F17" s="7">
        <v>3</v>
      </c>
      <c r="G17" s="7">
        <v>0</v>
      </c>
      <c r="H17" s="7">
        <v>0</v>
      </c>
    </row>
    <row r="18" spans="2:15" x14ac:dyDescent="0.2">
      <c r="J18" s="4" t="s">
        <v>22</v>
      </c>
      <c r="K18" s="7">
        <v>546</v>
      </c>
      <c r="L18" s="7">
        <v>135</v>
      </c>
      <c r="M18" s="7">
        <v>3</v>
      </c>
      <c r="N18" s="7">
        <v>3</v>
      </c>
    </row>
    <row r="19" spans="2:15" x14ac:dyDescent="0.2">
      <c r="J19" s="4" t="s">
        <v>23</v>
      </c>
      <c r="K19" s="7">
        <v>745</v>
      </c>
      <c r="L19" s="7">
        <v>160</v>
      </c>
      <c r="M19" s="7">
        <v>6</v>
      </c>
      <c r="N19" s="7">
        <v>0</v>
      </c>
    </row>
    <row r="20" spans="2:15" x14ac:dyDescent="0.2">
      <c r="B20" s="4" t="s">
        <v>27</v>
      </c>
      <c r="C20">
        <f>ROUND(C14/C$12*100,1)</f>
        <v>76</v>
      </c>
      <c r="D20">
        <f t="shared" ref="D20:H20" si="1">ROUND(D14/D$12*100,1)</f>
        <v>78.3</v>
      </c>
      <c r="E20">
        <f t="shared" si="1"/>
        <v>96.5</v>
      </c>
      <c r="F20">
        <f t="shared" si="1"/>
        <v>79.5</v>
      </c>
      <c r="G20">
        <f t="shared" si="1"/>
        <v>81.8</v>
      </c>
      <c r="H20">
        <f t="shared" si="1"/>
        <v>97.5</v>
      </c>
      <c r="J20" s="4" t="s">
        <v>24</v>
      </c>
      <c r="K20" s="7">
        <v>118</v>
      </c>
      <c r="L20" s="7">
        <v>3</v>
      </c>
      <c r="M20" s="7">
        <v>0</v>
      </c>
      <c r="N20" s="7">
        <v>0</v>
      </c>
    </row>
    <row r="21" spans="2:15" x14ac:dyDescent="0.2">
      <c r="B21" s="4" t="s">
        <v>28</v>
      </c>
      <c r="C21">
        <f t="shared" ref="C21:H21" si="2">ROUND(C15/C$12*100,1)</f>
        <v>22.7</v>
      </c>
      <c r="D21">
        <f t="shared" si="2"/>
        <v>20.3</v>
      </c>
      <c r="E21">
        <f t="shared" si="2"/>
        <v>3.5</v>
      </c>
      <c r="F21">
        <f t="shared" si="2"/>
        <v>19.7</v>
      </c>
      <c r="G21">
        <f>ROUND(G15/G$12*100,1)</f>
        <v>17.600000000000001</v>
      </c>
      <c r="H21">
        <f t="shared" si="2"/>
        <v>2.5</v>
      </c>
      <c r="J21" s="4" t="s">
        <v>37</v>
      </c>
      <c r="K21" s="10">
        <f>SUM(K18:K20)</f>
        <v>1409</v>
      </c>
      <c r="L21" s="10">
        <f t="shared" ref="L21:N21" si="3">SUM(L18:L20)</f>
        <v>298</v>
      </c>
      <c r="M21" s="10">
        <f t="shared" si="3"/>
        <v>9</v>
      </c>
      <c r="N21" s="10">
        <f t="shared" si="3"/>
        <v>3</v>
      </c>
    </row>
    <row r="22" spans="2:15" x14ac:dyDescent="0.2">
      <c r="B22" s="4" t="s">
        <v>29</v>
      </c>
      <c r="C22">
        <f t="shared" ref="C22:H22" si="4">ROUND(C16/C$12*100,1)</f>
        <v>0.9</v>
      </c>
      <c r="D22">
        <f t="shared" si="4"/>
        <v>1.2</v>
      </c>
      <c r="E22">
        <f t="shared" si="4"/>
        <v>0</v>
      </c>
      <c r="F22">
        <f t="shared" si="4"/>
        <v>0.4</v>
      </c>
      <c r="G22">
        <f t="shared" si="4"/>
        <v>0.7</v>
      </c>
      <c r="H22">
        <f t="shared" si="4"/>
        <v>0</v>
      </c>
    </row>
    <row r="23" spans="2:15" x14ac:dyDescent="0.2">
      <c r="B23" s="4" t="s">
        <v>30</v>
      </c>
      <c r="C23">
        <f t="shared" ref="C23:H23" si="5">ROUND(C17/C$12*100,1)</f>
        <v>0.4</v>
      </c>
      <c r="D23">
        <f t="shared" si="5"/>
        <v>0.2</v>
      </c>
      <c r="E23">
        <f t="shared" si="5"/>
        <v>0</v>
      </c>
      <c r="F23">
        <f t="shared" si="5"/>
        <v>0.4</v>
      </c>
      <c r="G23">
        <f t="shared" si="5"/>
        <v>0</v>
      </c>
      <c r="H23">
        <f t="shared" si="5"/>
        <v>0</v>
      </c>
    </row>
    <row r="25" spans="2:15" x14ac:dyDescent="0.2">
      <c r="B25" s="6"/>
      <c r="C25" s="11" t="s">
        <v>19</v>
      </c>
      <c r="D25" s="11" t="s">
        <v>20</v>
      </c>
      <c r="E25" s="11" t="s">
        <v>21</v>
      </c>
      <c r="F25" s="11" t="s">
        <v>22</v>
      </c>
      <c r="G25" s="11" t="s">
        <v>23</v>
      </c>
      <c r="H25" s="11" t="s">
        <v>24</v>
      </c>
    </row>
    <row r="26" spans="2:15" x14ac:dyDescent="0.2">
      <c r="B26" s="11" t="s">
        <v>25</v>
      </c>
      <c r="C26" s="12">
        <v>1084</v>
      </c>
      <c r="D26" s="12">
        <v>1278</v>
      </c>
      <c r="E26" s="12">
        <v>227</v>
      </c>
      <c r="F26" s="12">
        <v>687</v>
      </c>
      <c r="G26" s="12">
        <v>911</v>
      </c>
      <c r="H26" s="12">
        <v>121</v>
      </c>
      <c r="J26">
        <v>1084</v>
      </c>
      <c r="K26">
        <v>1278</v>
      </c>
      <c r="L26">
        <v>227</v>
      </c>
      <c r="M26">
        <v>687</v>
      </c>
      <c r="N26">
        <v>911</v>
      </c>
      <c r="O26">
        <v>121</v>
      </c>
    </row>
    <row r="27" spans="2:15" x14ac:dyDescent="0.2">
      <c r="B27" s="11" t="s">
        <v>26</v>
      </c>
      <c r="C27" s="12">
        <v>19</v>
      </c>
      <c r="D27" s="12">
        <v>10</v>
      </c>
      <c r="E27" s="12">
        <v>3</v>
      </c>
      <c r="F27" s="12">
        <v>19</v>
      </c>
      <c r="G27" s="12">
        <v>7</v>
      </c>
      <c r="H27" s="12">
        <v>3</v>
      </c>
      <c r="J27">
        <v>19</v>
      </c>
      <c r="K27">
        <v>10</v>
      </c>
      <c r="L27">
        <v>3</v>
      </c>
      <c r="M27">
        <v>19</v>
      </c>
      <c r="N27">
        <v>7</v>
      </c>
      <c r="O27">
        <v>3</v>
      </c>
    </row>
    <row r="28" spans="2:15" x14ac:dyDescent="0.2">
      <c r="B28" s="11" t="s">
        <v>27</v>
      </c>
      <c r="C28" s="6" t="str">
        <f t="shared" ref="C28:H31" si="6">_xlfn.TEXTJOIN("", TRUE, C14, " (",C20,"%)")</f>
        <v>824 (76%)</v>
      </c>
      <c r="D28" s="6" t="str">
        <f t="shared" si="6"/>
        <v>1001 (78.3%)</v>
      </c>
      <c r="E28" s="6" t="str">
        <f t="shared" si="6"/>
        <v>219 (96.5%)</v>
      </c>
      <c r="F28" s="6" t="str">
        <f t="shared" si="6"/>
        <v>546 (79.5%)</v>
      </c>
      <c r="G28" s="6" t="str">
        <f t="shared" si="6"/>
        <v>745 (81.8%)</v>
      </c>
      <c r="H28" s="6" t="str">
        <f t="shared" si="6"/>
        <v>118 (97.5%)</v>
      </c>
      <c r="J28" t="s">
        <v>43</v>
      </c>
      <c r="K28" t="s">
        <v>44</v>
      </c>
      <c r="L28" t="s">
        <v>45</v>
      </c>
      <c r="M28" t="s">
        <v>46</v>
      </c>
      <c r="N28" t="s">
        <v>47</v>
      </c>
      <c r="O28" t="s">
        <v>48</v>
      </c>
    </row>
    <row r="29" spans="2:15" x14ac:dyDescent="0.2">
      <c r="B29" s="11" t="s">
        <v>28</v>
      </c>
      <c r="C29" s="6" t="str">
        <f t="shared" si="6"/>
        <v>246 (22.7%)</v>
      </c>
      <c r="D29" s="6" t="str">
        <f t="shared" si="6"/>
        <v>260 (20.3%)</v>
      </c>
      <c r="E29" s="6" t="str">
        <f t="shared" si="6"/>
        <v>8 (3.5%)</v>
      </c>
      <c r="F29" s="6" t="str">
        <f t="shared" si="6"/>
        <v>135 (19.7%)</v>
      </c>
      <c r="G29" s="6" t="str">
        <f t="shared" si="6"/>
        <v>160 (17.6%)</v>
      </c>
      <c r="H29" s="6" t="str">
        <f t="shared" si="6"/>
        <v>3 (2.5%)</v>
      </c>
      <c r="J29" t="s">
        <v>49</v>
      </c>
      <c r="K29" t="s">
        <v>50</v>
      </c>
      <c r="L29" t="s">
        <v>51</v>
      </c>
      <c r="M29" t="s">
        <v>52</v>
      </c>
      <c r="N29" t="s">
        <v>53</v>
      </c>
      <c r="O29" t="s">
        <v>54</v>
      </c>
    </row>
    <row r="30" spans="2:15" x14ac:dyDescent="0.2">
      <c r="B30" s="11" t="s">
        <v>29</v>
      </c>
      <c r="C30" s="6" t="str">
        <f t="shared" si="6"/>
        <v>10 (0.9%)</v>
      </c>
      <c r="D30" s="6" t="str">
        <f t="shared" si="6"/>
        <v>15 (1.2%)</v>
      </c>
      <c r="E30" s="6" t="str">
        <f t="shared" si="6"/>
        <v>0 (0%)</v>
      </c>
      <c r="F30" s="6" t="str">
        <f t="shared" si="6"/>
        <v>3 (0.4%)</v>
      </c>
      <c r="G30" s="6" t="str">
        <f t="shared" si="6"/>
        <v>6 (0.7%)</v>
      </c>
      <c r="H30" s="6" t="str">
        <f t="shared" si="6"/>
        <v>0 (0%)</v>
      </c>
      <c r="J30" t="s">
        <v>31</v>
      </c>
      <c r="K30" t="s">
        <v>55</v>
      </c>
      <c r="L30" t="s">
        <v>32</v>
      </c>
      <c r="M30" t="s">
        <v>33</v>
      </c>
      <c r="N30" t="s">
        <v>34</v>
      </c>
      <c r="O30" t="s">
        <v>32</v>
      </c>
    </row>
    <row r="31" spans="2:15" x14ac:dyDescent="0.2">
      <c r="B31" s="11" t="s">
        <v>30</v>
      </c>
      <c r="C31" s="6" t="str">
        <f t="shared" si="6"/>
        <v>4 (0.4%)</v>
      </c>
      <c r="D31" s="6" t="str">
        <f t="shared" si="6"/>
        <v>2 (0.2%)</v>
      </c>
      <c r="E31" s="6" t="str">
        <f t="shared" si="6"/>
        <v>0 (0%)</v>
      </c>
      <c r="F31" s="6" t="str">
        <f t="shared" si="6"/>
        <v>3 (0.4%)</v>
      </c>
      <c r="G31" s="6" t="str">
        <f t="shared" si="6"/>
        <v>0 (0%)</v>
      </c>
      <c r="H31" s="6" t="str">
        <f t="shared" si="6"/>
        <v>0 (0%)</v>
      </c>
      <c r="J31" t="s">
        <v>35</v>
      </c>
      <c r="K31" t="s">
        <v>36</v>
      </c>
      <c r="L31" t="s">
        <v>32</v>
      </c>
      <c r="M31" t="s">
        <v>33</v>
      </c>
      <c r="N31" t="s">
        <v>32</v>
      </c>
      <c r="O31" t="s">
        <v>32</v>
      </c>
    </row>
    <row r="34" spans="2:8" x14ac:dyDescent="0.2"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</row>
    <row r="35" spans="2:8" x14ac:dyDescent="0.2">
      <c r="B35" t="s">
        <v>19</v>
      </c>
      <c r="C35">
        <v>1084</v>
      </c>
      <c r="D35">
        <v>19</v>
      </c>
      <c r="E35" t="s">
        <v>43</v>
      </c>
      <c r="F35" t="s">
        <v>49</v>
      </c>
      <c r="G35" t="s">
        <v>31</v>
      </c>
      <c r="H35" t="s">
        <v>35</v>
      </c>
    </row>
    <row r="36" spans="2:8" x14ac:dyDescent="0.2">
      <c r="B36" t="s">
        <v>20</v>
      </c>
      <c r="C36">
        <v>1278</v>
      </c>
      <c r="D36">
        <v>10</v>
      </c>
      <c r="E36" t="s">
        <v>44</v>
      </c>
      <c r="F36" t="s">
        <v>50</v>
      </c>
      <c r="G36" t="s">
        <v>55</v>
      </c>
      <c r="H36" t="s">
        <v>36</v>
      </c>
    </row>
    <row r="37" spans="2:8" x14ac:dyDescent="0.2">
      <c r="B37" t="s">
        <v>21</v>
      </c>
      <c r="C37">
        <v>227</v>
      </c>
      <c r="D37">
        <v>3</v>
      </c>
      <c r="E37" t="s">
        <v>45</v>
      </c>
      <c r="F37" t="s">
        <v>51</v>
      </c>
      <c r="G37" t="s">
        <v>32</v>
      </c>
      <c r="H37" t="s">
        <v>32</v>
      </c>
    </row>
    <row r="38" spans="2:8" x14ac:dyDescent="0.2">
      <c r="C38">
        <f>SUM(C35:C37)</f>
        <v>2589</v>
      </c>
      <c r="E38">
        <v>2044</v>
      </c>
      <c r="F38">
        <v>514</v>
      </c>
      <c r="G38">
        <v>25</v>
      </c>
      <c r="H38">
        <v>6</v>
      </c>
    </row>
    <row r="39" spans="2:8" x14ac:dyDescent="0.2">
      <c r="B39" t="s">
        <v>22</v>
      </c>
      <c r="C39">
        <v>687</v>
      </c>
      <c r="D39">
        <v>19</v>
      </c>
      <c r="E39" t="s">
        <v>46</v>
      </c>
      <c r="F39" t="s">
        <v>52</v>
      </c>
      <c r="G39" t="s">
        <v>33</v>
      </c>
      <c r="H39" t="s">
        <v>33</v>
      </c>
    </row>
    <row r="40" spans="2:8" x14ac:dyDescent="0.2">
      <c r="B40" t="s">
        <v>23</v>
      </c>
      <c r="C40">
        <v>911</v>
      </c>
      <c r="D40">
        <v>7</v>
      </c>
      <c r="E40" t="s">
        <v>47</v>
      </c>
      <c r="F40" t="s">
        <v>53</v>
      </c>
      <c r="G40" t="s">
        <v>34</v>
      </c>
      <c r="H40" t="s">
        <v>32</v>
      </c>
    </row>
    <row r="41" spans="2:8" x14ac:dyDescent="0.2">
      <c r="B41" t="s">
        <v>24</v>
      </c>
      <c r="C41">
        <v>121</v>
      </c>
      <c r="D41">
        <v>3</v>
      </c>
      <c r="E41" t="s">
        <v>48</v>
      </c>
      <c r="F41" t="s">
        <v>54</v>
      </c>
      <c r="G41" t="s">
        <v>32</v>
      </c>
      <c r="H41" t="s">
        <v>32</v>
      </c>
    </row>
    <row r="42" spans="2:8" x14ac:dyDescent="0.2">
      <c r="C42">
        <f>SUM(C39:C41)</f>
        <v>1719</v>
      </c>
      <c r="E42">
        <v>1409</v>
      </c>
      <c r="F42">
        <v>298</v>
      </c>
      <c r="G42">
        <v>9</v>
      </c>
      <c r="H4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3A87-AEEE-1849-8D19-2805068A030D}">
  <dimension ref="A1:K23"/>
  <sheetViews>
    <sheetView zoomScale="150" workbookViewId="0">
      <selection activeCell="F19" sqref="F19"/>
    </sheetView>
  </sheetViews>
  <sheetFormatPr baseColWidth="10" defaultColWidth="10.1640625" defaultRowHeight="16" x14ac:dyDescent="0.2"/>
  <sheetData>
    <row r="1" spans="1:11" x14ac:dyDescent="0.2">
      <c r="A1" s="4"/>
      <c r="B1" s="4"/>
      <c r="C1" s="4"/>
    </row>
    <row r="2" spans="1:11" s="6" customFormat="1" x14ac:dyDescent="0.2">
      <c r="A2" s="7"/>
      <c r="B2" s="7"/>
      <c r="C2" s="7"/>
    </row>
    <row r="3" spans="1:11" s="6" customFormat="1" x14ac:dyDescent="0.2">
      <c r="A3" s="7"/>
      <c r="B3" s="7"/>
      <c r="C3" s="7"/>
    </row>
    <row r="4" spans="1:11" s="6" customFormat="1" x14ac:dyDescent="0.2">
      <c r="A4" s="7"/>
      <c r="B4" s="7"/>
      <c r="C4" s="7"/>
    </row>
    <row r="5" spans="1:11" x14ac:dyDescent="0.2">
      <c r="A5" s="7"/>
      <c r="B5" s="7"/>
      <c r="C5" s="7"/>
    </row>
    <row r="6" spans="1:11" x14ac:dyDescent="0.2">
      <c r="A6" s="8"/>
      <c r="B6" s="7"/>
      <c r="C6" s="7"/>
    </row>
    <row r="7" spans="1:11" s="6" customFormat="1" x14ac:dyDescent="0.2">
      <c r="A7" s="7"/>
      <c r="B7" s="7"/>
      <c r="C7" s="7"/>
    </row>
    <row r="8" spans="1:11" x14ac:dyDescent="0.2">
      <c r="A8" s="7"/>
      <c r="B8" s="7"/>
      <c r="C8" s="7"/>
    </row>
    <row r="9" spans="1:11" x14ac:dyDescent="0.2">
      <c r="A9" s="7"/>
      <c r="B9" s="7"/>
      <c r="C9" s="7"/>
      <c r="E9" s="4"/>
      <c r="I9" s="7"/>
    </row>
    <row r="10" spans="1:11" x14ac:dyDescent="0.2">
      <c r="A10" s="5"/>
      <c r="B10" s="5"/>
      <c r="C10" s="5"/>
      <c r="E10" s="4"/>
      <c r="I10" s="7"/>
    </row>
    <row r="11" spans="1:11" x14ac:dyDescent="0.2">
      <c r="A11" s="5"/>
      <c r="B11" s="5"/>
      <c r="C11" s="5"/>
      <c r="E11" s="4"/>
      <c r="I11" s="7"/>
    </row>
    <row r="12" spans="1:11" x14ac:dyDescent="0.2">
      <c r="A12" s="19"/>
      <c r="B12" s="27" t="s">
        <v>10</v>
      </c>
      <c r="C12" s="28" t="s">
        <v>10</v>
      </c>
      <c r="D12" s="28" t="s">
        <v>10</v>
      </c>
      <c r="E12" s="28" t="s">
        <v>10</v>
      </c>
      <c r="F12" s="20" t="s">
        <v>10</v>
      </c>
      <c r="G12" s="27" t="s">
        <v>9</v>
      </c>
      <c r="H12" s="28" t="s">
        <v>9</v>
      </c>
      <c r="I12" s="28" t="s">
        <v>9</v>
      </c>
      <c r="J12" s="20" t="s">
        <v>9</v>
      </c>
      <c r="K12" s="28" t="s">
        <v>9</v>
      </c>
    </row>
    <row r="13" spans="1:11" x14ac:dyDescent="0.2">
      <c r="A13" s="22" t="s">
        <v>38</v>
      </c>
      <c r="B13" s="21" t="s">
        <v>37</v>
      </c>
      <c r="C13" s="22">
        <v>2</v>
      </c>
      <c r="D13" s="23" t="s">
        <v>42</v>
      </c>
      <c r="E13" s="24" t="s">
        <v>41</v>
      </c>
      <c r="F13" s="22" t="s">
        <v>15</v>
      </c>
      <c r="G13" s="21" t="s">
        <v>37</v>
      </c>
      <c r="H13" s="22">
        <v>2</v>
      </c>
      <c r="I13" s="23" t="s">
        <v>42</v>
      </c>
      <c r="J13" s="24" t="s">
        <v>41</v>
      </c>
      <c r="K13" s="22" t="s">
        <v>15</v>
      </c>
    </row>
    <row r="14" spans="1:11" x14ac:dyDescent="0.2">
      <c r="A14" s="22" t="s">
        <v>39</v>
      </c>
      <c r="B14" s="21">
        <v>4621</v>
      </c>
      <c r="C14" s="22">
        <v>2331</v>
      </c>
      <c r="D14" s="22">
        <v>1951</v>
      </c>
      <c r="E14" s="22">
        <v>230</v>
      </c>
      <c r="F14" s="22">
        <v>108</v>
      </c>
      <c r="G14" s="21">
        <v>4222</v>
      </c>
      <c r="H14" s="22">
        <v>2724</v>
      </c>
      <c r="I14" s="22">
        <v>1417</v>
      </c>
      <c r="J14" s="22">
        <v>69</v>
      </c>
      <c r="K14" s="22">
        <v>12</v>
      </c>
    </row>
    <row r="15" spans="1:11" x14ac:dyDescent="0.2">
      <c r="A15" s="26" t="s">
        <v>40</v>
      </c>
      <c r="B15" s="25">
        <v>20590</v>
      </c>
      <c r="C15" s="26">
        <v>4662</v>
      </c>
      <c r="D15" s="26">
        <v>8444</v>
      </c>
      <c r="E15" s="26">
        <v>2940</v>
      </c>
      <c r="F15" s="26">
        <v>4543</v>
      </c>
      <c r="G15" s="25">
        <v>12391</v>
      </c>
      <c r="H15" s="26">
        <v>5448</v>
      </c>
      <c r="I15" s="26">
        <v>5780</v>
      </c>
      <c r="J15" s="26">
        <v>854</v>
      </c>
      <c r="K15" s="26">
        <v>309</v>
      </c>
    </row>
    <row r="16" spans="1:11" x14ac:dyDescent="0.2">
      <c r="A16" s="16"/>
      <c r="B16" s="13"/>
      <c r="C16" s="14"/>
    </row>
    <row r="17" spans="1:3" x14ac:dyDescent="0.2">
      <c r="A17" s="13"/>
      <c r="B17" s="13"/>
      <c r="C17" s="14"/>
    </row>
    <row r="18" spans="1:3" ht="17" thickBot="1" x14ac:dyDescent="0.25">
      <c r="A18" s="17"/>
      <c r="B18" s="17"/>
      <c r="C18" s="18"/>
    </row>
    <row r="19" spans="1:3" x14ac:dyDescent="0.2">
      <c r="A19" s="13"/>
      <c r="B19" s="13"/>
      <c r="C19" s="14"/>
    </row>
    <row r="20" spans="1:3" x14ac:dyDescent="0.2">
      <c r="A20" s="15"/>
      <c r="B20" s="13"/>
      <c r="C20" s="14"/>
    </row>
    <row r="21" spans="1:3" x14ac:dyDescent="0.2">
      <c r="A21" s="16"/>
      <c r="B21" s="13"/>
      <c r="C21" s="14"/>
    </row>
    <row r="22" spans="1:3" x14ac:dyDescent="0.2">
      <c r="A22" s="13"/>
      <c r="B22" s="13"/>
      <c r="C22" s="14"/>
    </row>
    <row r="23" spans="1:3" ht="17" thickBot="1" x14ac:dyDescent="0.25">
      <c r="A23" s="17"/>
      <c r="B23" s="17"/>
      <c r="C2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tags.summary</vt:lpstr>
      <vt:lpstr>Sheet1</vt:lpstr>
      <vt:lpstr>MCL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Ngoc Vu</cp:lastModifiedBy>
  <dcterms:modified xsi:type="dcterms:W3CDTF">2025-12-27T01:30:25Z</dcterms:modified>
</cp:coreProperties>
</file>